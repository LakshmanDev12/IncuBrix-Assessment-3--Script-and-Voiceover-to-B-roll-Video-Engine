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name="0_Start_Here" sheetId="1" state="visible" r:id="rId1"/>
    <sheet name="1_Your_Details" sheetId="2" state="visible" r:id="rId2"/>
    <sheet name="2_Must_haves" sheetId="3" state="visible" r:id="rId3"/>
    <sheet name="3_Levels" sheetId="4" state="visible" r:id="rId4"/>
    <sheet name="4_Integration" sheetId="5" state="visible" r:id="rId5"/>
    <sheet name="5_Metrics" sheetId="6" state="visible" r:id="rId6"/>
    <sheet name="6_Hard_cases" sheetId="7" state="visible" r:id="rId7"/>
    <sheet name="7_Declaration" sheetId="8" state="visible" r:id="rId8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color rgb="FFFFFFFF"/>
      <sz val="10"/>
    </font>
    <font>
      <name val="Arial"/>
      <charset val="1"/>
      <b val="1"/>
      <color rgb="FFFFFFFF"/>
      <sz val="10"/>
    </font>
    <font>
      <name val="Arial"/>
      <charset val="1"/>
      <color rgb="FF14212B"/>
      <sz val="10"/>
    </font>
    <font>
      <name val="Arial"/>
      <charset val="1"/>
      <b val="1"/>
      <color rgb="FF14212B"/>
      <sz val="10"/>
    </font>
    <font>
      <name val="Arial"/>
      <charset val="1"/>
      <i val="1"/>
      <color rgb="FF5B6B78"/>
      <sz val="10"/>
    </font>
    <font>
      <name val="Calibri"/>
      <charset val="1"/>
      <family val="2"/>
      <color theme="10"/>
      <sz val="11"/>
      <u val="single"/>
    </font>
  </fonts>
  <fills count="8">
    <fill>
      <patternFill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7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  <border>
      <left/>
      <right/>
      <top style="thin">
        <color rgb="FFD5DDE3"/>
      </top>
      <bottom/>
      <diagonal/>
    </border>
    <border>
      <left/>
      <right/>
      <top style="thin">
        <color rgb="FFD5DDE3"/>
      </top>
      <bottom style="thin">
        <color rgb="FFD5DDE3"/>
      </bottom>
      <diagonal/>
    </border>
    <border>
      <left/>
      <right style="thin">
        <color rgb="FFD5DDE3"/>
      </right>
      <top style="thin">
        <color rgb="FFD5DDE3"/>
      </top>
      <bottom/>
      <diagonal/>
    </border>
    <border>
      <left/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pivotButton="0" quotePrefix="0" xfId="0"/>
    <xf numFmtId="0" fontId="5" fillId="6" borderId="2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6" fillId="4" borderId="2" applyAlignment="1" pivotButton="0" quotePrefix="0" xfId="0">
      <alignment vertical="top" wrapText="1"/>
    </xf>
    <xf numFmtId="0" fontId="7" fillId="7" borderId="2" applyAlignment="1" pivotButton="0" quotePrefix="0" xfId="1">
      <alignment vertical="top" wrapText="1"/>
    </xf>
    <xf numFmtId="9" fontId="4" fillId="7" borderId="2" applyAlignment="1" pivotButton="0" quotePrefix="0" xfId="0">
      <alignment vertical="top" wrapText="1"/>
    </xf>
    <xf numFmtId="14" fontId="4" fillId="7" borderId="2" applyAlignment="1" pivotButton="0" quotePrefix="0" xfId="0">
      <alignment vertical="top" wrapText="1"/>
    </xf>
    <xf numFmtId="0" fontId="0" fillId="0" borderId="4" pivotButton="0" quotePrefix="0" xfId="0"/>
    <xf numFmtId="0" fontId="0" fillId="0" borderId="6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24i433@psgtech.ac.in" TargetMode="External" Id="rId1" /><Relationship Type="http://schemas.openxmlformats.org/officeDocument/2006/relationships/hyperlink" Target="https://incubrix-video-broll-engine.vercel.app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opLeftCell="A2" zoomScaleNormal="100" workbookViewId="0">
      <selection activeCell="A1" sqref="A1:C1"/>
    </sheetView>
  </sheetViews>
  <sheetFormatPr baseColWidth="8" defaultColWidth="8.6640625" defaultRowHeight="14.4"/>
  <cols>
    <col width="6" customWidth="1" min="1" max="1"/>
    <col width="96" customWidth="1" min="2" max="2"/>
    <col width="16" customWidth="1" min="3" max="3"/>
  </cols>
  <sheetData>
    <row r="1" ht="24" customHeight="1">
      <c r="A1" s="4" t="inlineStr">
        <is>
          <t>IncuBrix Engineering Assessment 3 | Script and Voiceover to B-roll Video Engine | Submission Form</t>
        </is>
      </c>
      <c r="B1" s="16" t="n"/>
      <c r="C1" s="16" t="n"/>
    </row>
    <row r="2" ht="31.5" customHeight="1">
      <c r="A2" s="3" t="inlineStr">
        <is>
          <t>This form is how you show us what you built. Fill it as you work. We verify every claim, so be precise.</t>
        </is>
      </c>
      <c r="B2" s="16" t="n"/>
      <c r="C2" s="16" t="n"/>
    </row>
    <row r="4" ht="19.5" customHeight="1">
      <c r="A4" s="5" t="n">
        <v>1</v>
      </c>
      <c r="B4" s="6" t="inlineStr">
        <is>
          <t>Read the assessment brief (PDF) first.</t>
        </is>
      </c>
    </row>
    <row r="5" ht="19.5" customHeight="1">
      <c r="A5" s="5" t="n">
        <v>2</v>
      </c>
      <c r="B5" s="6" t="inlineStr">
        <is>
          <t>1_Your_Details: your contact details and all links.</t>
        </is>
      </c>
    </row>
    <row r="6" ht="19.5" customHeight="1">
      <c r="A6" s="5" t="n">
        <v>3</v>
      </c>
      <c r="B6" s="6" t="inlineStr">
        <is>
          <t>2_Must_haves: mark each must-have Yes or No with evidence. Every one must pass to be selected.</t>
        </is>
      </c>
    </row>
    <row r="7" ht="19.5" customHeight="1">
      <c r="A7" s="5" t="n">
        <v>4</v>
      </c>
      <c r="B7" s="6" t="inlineStr">
        <is>
          <t>3_Levels: mark each item Yes / Partial / No with evidence. The level you reached is calculated for you.</t>
        </is>
      </c>
    </row>
    <row r="8" ht="19.5" customHeight="1">
      <c r="A8" s="5" t="n">
        <v>5</v>
      </c>
      <c r="B8" s="6" t="inlineStr">
        <is>
          <t>4_Integration: mark each Integration Standard point with evidence.</t>
        </is>
      </c>
    </row>
    <row r="9" ht="19.5" customHeight="1">
      <c r="A9" s="5" t="n">
        <v>6</v>
      </c>
      <c r="B9" s="6" t="inlineStr">
        <is>
          <t>5_Metrics: enter your measured numbers.  6_Hard_cases: say how your system handles each situation.</t>
        </is>
      </c>
    </row>
    <row r="10" ht="19.5" customHeight="1">
      <c r="A10" s="5" t="n">
        <v>7</v>
      </c>
      <c r="B10" s="6" t="inlineStr">
        <is>
          <t>7_Declaration: answer every statement and sign.</t>
        </is>
      </c>
    </row>
    <row r="11" ht="19.5" customHeight="1">
      <c r="A11" s="5" t="n">
        <v>8</v>
      </c>
      <c r="B11" s="6" t="inlineStr">
        <is>
          <t>Save as Assessment3_YourName.xlsx and attach it to your reply to the invitation email before the deadline.</t>
        </is>
      </c>
    </row>
    <row r="13">
      <c r="B13" s="7" t="inlineStr">
        <is>
          <t>Colour key: YELLOW = you fill in.  GREEN = calculated automatically.  GREY = instructions or example.</t>
        </is>
      </c>
    </row>
    <row r="15">
      <c r="B15" s="8" t="inlineStr">
        <is>
          <t>Your self-check (updates as you fill the form)</t>
        </is>
      </c>
      <c r="C15" s="9" t="n"/>
    </row>
    <row r="16">
      <c r="B16" s="7" t="inlineStr">
        <is>
          <t>Must-haves marked Yes</t>
        </is>
      </c>
      <c r="C16" s="10">
        <f>COUNTIF('2_Must_haves'!C6:C13,"Yes")&amp;" of 8"</f>
        <v/>
      </c>
    </row>
    <row r="17">
      <c r="B17" s="7" t="inlineStr">
        <is>
          <t>Level reached</t>
        </is>
      </c>
      <c r="C17" s="10">
        <f>'3_Levels'!C17</f>
        <v/>
      </c>
    </row>
    <row r="18">
      <c r="B18" s="7" t="inlineStr">
        <is>
          <t>Level marks claimed (40)</t>
        </is>
      </c>
      <c r="C18" s="10">
        <f>'3_Levels'!C18</f>
        <v/>
      </c>
    </row>
    <row r="19">
      <c r="B19" s="7" t="inlineStr">
        <is>
          <t>Integration marks claimed (20)</t>
        </is>
      </c>
      <c r="C19" s="10">
        <f>'4_Integration'!C15</f>
        <v/>
      </c>
    </row>
    <row r="20">
      <c r="B20" s="7" t="inlineStr">
        <is>
          <t>Self-assessed marks before our checks (60)</t>
        </is>
      </c>
      <c r="C20" s="10">
        <f>'3_Levels'!C18+'4_Integration'!C15</f>
        <v/>
      </c>
    </row>
    <row r="22" ht="43.5" customHeight="1">
      <c r="B22" s="2" t="inlineStr">
        <is>
      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      </is>
      </c>
      <c r="C22" s="16" t="n"/>
    </row>
  </sheetData>
  <mergeCells count="3">
    <mergeCell ref="A1:C1"/>
    <mergeCell ref="B22:C22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zoomScaleNormal="100" workbookViewId="0">
      <selection activeCell="B11" sqref="B11"/>
    </sheetView>
  </sheetViews>
  <sheetFormatPr baseColWidth="8" defaultColWidth="8.6640625" defaultRowHeight="14.4"/>
  <cols>
    <col width="34" customWidth="1" min="1" max="1"/>
    <col width="70" customWidth="1" min="2" max="2"/>
  </cols>
  <sheetData>
    <row r="1" ht="24" customHeight="1">
      <c r="A1" s="4" t="inlineStr">
        <is>
          <t>IncuBrix Assessment 3 | Submission Form | Script and Voiceover to B-roll Video Engine</t>
        </is>
      </c>
      <c r="B1" s="16" t="n"/>
    </row>
    <row r="2" ht="31.5" customHeight="1">
      <c r="A2" s="3" t="inlineStr">
        <is>
          <t>Fill every YELLOW cell. Put links to evidence (repo path, output file, log, demo-video timestamp or URL) next to every claim. Save as Assessment3_&lt;YourName&gt;.xlsx and attach it to your reply email.</t>
        </is>
      </c>
      <c r="B2" s="16" t="n"/>
    </row>
    <row r="4" ht="19.5" customHeight="1">
      <c r="A4" s="7" t="inlineStr">
        <is>
          <t>Full name</t>
        </is>
      </c>
      <c r="B4" s="11" t="inlineStr">
        <is>
          <t>Lakshmandev Vk</t>
        </is>
      </c>
    </row>
    <row r="5" ht="19.5" customHeight="1">
      <c r="A5" s="7" t="inlineStr">
        <is>
          <t>Email</t>
        </is>
      </c>
      <c r="B5" s="13" t="inlineStr">
        <is>
          <t>24i433@psgtech.ac.in</t>
        </is>
      </c>
    </row>
    <row r="6" ht="19.5" customHeight="1">
      <c r="A6" s="7" t="inlineStr">
        <is>
          <t>Phone</t>
        </is>
      </c>
      <c r="B6" s="11" t="n">
        <v>9940699240</v>
      </c>
    </row>
    <row r="7" ht="19.5" customHeight="1">
      <c r="A7" s="7" t="inlineStr">
        <is>
          <t>College and degree</t>
        </is>
      </c>
      <c r="B7" s="11" t="inlineStr">
        <is>
          <t>Psg College Of Technology and Btech Information Technology</t>
        </is>
      </c>
    </row>
    <row r="8" ht="19.5" customHeight="1">
      <c r="A8" s="7" t="inlineStr">
        <is>
          <t>Graduation year</t>
        </is>
      </c>
      <c r="B8" s="11" t="n">
        <v>2027</v>
      </c>
    </row>
    <row r="9" ht="19.5" customHeight="1">
      <c r="A9" s="7" t="inlineStr">
        <is>
          <t>Live demo URL</t>
        </is>
      </c>
      <c r="B9" s="13" t="inlineStr">
        <is>
          <t>https://incubrix-video-broll-engine.vercel.app/</t>
        </is>
      </c>
    </row>
    <row r="10" ht="27.6" customHeight="1">
      <c r="A10" s="7" t="inlineStr">
        <is>
          <t>Live demo access token or login (if protected)</t>
        </is>
      </c>
      <c r="B10" s="11" t="inlineStr">
        <is>
          <t>Not Applicable</t>
        </is>
      </c>
    </row>
    <row r="11" ht="19.5" customHeight="1">
      <c r="A11" s="7" t="inlineStr">
        <is>
          <t>Cold-start wait time (if any)</t>
        </is>
      </c>
      <c r="B11" s="11" t="inlineStr">
        <is>
          <t>~30-45 seconds on Render free tier; 0 seconds on local Docker / native host.</t>
        </is>
      </c>
    </row>
    <row r="12" ht="28.8" customHeight="1">
      <c r="A12" s="7" t="inlineStr">
        <is>
          <t>Repository URL (private, reviewer invited)</t>
        </is>
      </c>
      <c r="B12" s="11" t="inlineStr">
        <is>
          <t>https://github.com/LakshmanDev12/IncuBrix-Assessment-3--Script-and-Voiceover-to-B-roll-Video-Engine</t>
        </is>
      </c>
    </row>
    <row r="13" ht="58" customHeight="1">
      <c r="A13" s="7" t="inlineStr">
        <is>
          <t>Demo video URL (max 8 min, unedited)</t>
        </is>
      </c>
      <c r="B13" s="11" t="inlineStr">
        <is>
          <t>Unedited Video (Official Walkthrough, max 8 min):
https://drive.google.com/file/d/1DMZmS_t_iJfAsIb9ll3Qhc8AiPU1lksB/view?usp=sharing
Edited Video (Showcase):
https://drive.google.com/file/d/1E7Qa8Tcy89PY3jZ7xDU9TJP4RTOZsFnl/view?usp=sharing</t>
        </is>
      </c>
    </row>
    <row r="14" ht="19.5" customHeight="1">
      <c r="A14" s="7" t="inlineStr">
        <is>
          <t>REPORT.md link</t>
        </is>
      </c>
      <c r="B14" s="11" t="inlineStr">
        <is>
          <t>https://github.com/LakshmanDev12/IncuBrix-Assessment-3--Script-and-Voiceover-to-B-roll-Video-Engine/blob/main/REPORT.md</t>
        </is>
      </c>
    </row>
    <row r="15" ht="42.6" customHeight="1">
      <c r="A15" s="7" t="inlineStr">
        <is>
          <t>Compute used (laptop / cloud / GPU, with specs)</t>
        </is>
      </c>
      <c r="B15" s="11" t="inlineStr">
        <is>
          <t>HP Victus 15 Laptop - NVIDIA GeForce RTX 4050 Laptop GPU (4 GB VRAM), 16 GB RAM, SSD storage; Cloud deployment: Render (512 MB RAM limit on the free instance).</t>
        </is>
      </c>
    </row>
    <row r="16" ht="19.5" customHeight="1">
      <c r="A16" s="7" t="inlineStr">
        <is>
          <t>Paid services used and total cost</t>
        </is>
      </c>
      <c r="B16" s="11" t="inlineStr">
        <is>
          <t>$0</t>
        </is>
      </c>
    </row>
    <row r="17" ht="25.2" customHeight="1">
      <c r="A17" s="7" t="inlineStr">
        <is>
          <t>AI coding tools used (details in AI_USE.md)</t>
        </is>
      </c>
      <c r="B17" s="11" t="inlineStr">
        <is>
          <t>Google DeepMind Antigravity, OpenAI ChatGPT (GPT-4o), Anthropic Claude (3.5 Sonnet), and Google Gemini (2.0 Flash) - full details in AI_USE.md</t>
        </is>
      </c>
    </row>
    <row r="18" ht="81" customHeight="1">
      <c r="A18" s="7" t="inlineStr">
        <is>
          <t>Approximate hours spent</t>
        </is>
      </c>
      <c r="B18" s="11" t="inlineStr">
        <is>
          <t>Total : 35 hours [Core Engine (10.5h): FastAPI, SQLite, segmentation, ranking, FFmpeg, 155 tests; AI &amp; Media (9h): Edge-TTS, Pixabay, AI adapter, subtitles; Docker (3h): GitHub, Dockerfiles, cloud config; UI (7.5h): Split-screen studio, Docker Compose, Vercel fixes, video controls, documentation; Deployment (5h): Render, Vercel, CORS, API verification.]</t>
        </is>
      </c>
    </row>
  </sheetData>
  <mergeCells count="2">
    <mergeCell ref="A2:B2"/>
    <mergeCell ref="A1:B1"/>
  </mergeCells>
  <hyperlinks>
    <hyperlink xmlns:r="http://schemas.openxmlformats.org/officeDocument/2006/relationships" ref="B5" r:id="rId1"/>
    <hyperlink xmlns:r="http://schemas.openxmlformats.org/officeDocument/2006/relationships" ref="B9" r:id="rId2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topLeftCell="A8" zoomScale="105" zoomScaleNormal="100" workbookViewId="0">
      <selection activeCell="C13" sqref="C13"/>
    </sheetView>
  </sheetViews>
  <sheetFormatPr baseColWidth="8" defaultColWidth="8.6640625" defaultRowHeight="14.4"/>
  <cols>
    <col width="5" customWidth="1" min="1" max="1"/>
    <col width="60" customWidth="1" min="2" max="2"/>
    <col width="10" customWidth="1" min="3" max="3"/>
    <col width="50" customWidth="1" min="4" max="4"/>
    <col width="36" customWidth="1" min="5" max="5"/>
  </cols>
  <sheetData>
    <row r="1" ht="24" customHeight="1">
      <c r="A1" s="4" t="inlineStr">
        <is>
          <t>Must-haves - every one must pass</t>
        </is>
      </c>
      <c r="B1" s="16" t="n"/>
      <c r="C1" s="16" t="n"/>
      <c r="D1" s="16" t="n"/>
      <c r="E1" s="16" t="n"/>
    </row>
    <row r="2" ht="31.5" customHeight="1">
      <c r="A2" s="3" t="inlineStr">
        <is>
          <t>Mark Met = Yes only if it fully works. Give links that let us check it in minutes.</t>
        </is>
      </c>
      <c r="B2" s="16" t="n"/>
      <c r="C2" s="16" t="n"/>
      <c r="D2" s="16" t="n"/>
      <c r="E2" s="16" t="n"/>
    </row>
    <row r="4" ht="30" customHeight="1">
      <c r="A4" s="8" t="inlineStr">
        <is>
          <t>#</t>
        </is>
      </c>
      <c r="B4" s="8" t="inlineStr">
        <is>
          <t>Must-have</t>
        </is>
      </c>
      <c r="C4" s="8" t="inlineStr">
        <is>
          <t>Met?</t>
        </is>
      </c>
      <c r="D4" s="8" t="inlineStr">
        <is>
          <t>Evidence links (files, logs, tests, video timestamp)</t>
        </is>
      </c>
      <c r="E4" s="8" t="inlineStr">
        <is>
          <t>Notes / limits</t>
        </is>
      </c>
    </row>
    <row r="5" ht="26.4" customHeight="1">
      <c r="A5" s="12" t="inlineStr">
        <is>
          <t>Ex.</t>
        </is>
      </c>
      <c r="B5" s="12" t="inlineStr">
        <is>
          <t>Example row - shows the expected format (do not edit)</t>
        </is>
      </c>
      <c r="C5" s="12" t="inlineStr">
        <is>
          <t>Yes</t>
        </is>
      </c>
      <c r="D5" s="12" t="inlineStr">
        <is>
          <t>repo/tests/test_length.py ; outputs/run_07/manifest.json ; demo video 02:15</t>
        </is>
      </c>
      <c r="E5" s="12" t="inlineStr">
        <is>
          <t>Fails above 290 s - see REPORT.md section 4</t>
        </is>
      </c>
    </row>
    <row r="6" ht="55.8" customHeight="1">
      <c r="A6" s="6" t="n">
        <v>1</v>
      </c>
      <c r="B6" s="6" t="inlineStr">
        <is>
          <t>Both inputs work: audio (mp3, wav, m4a, up to 10 minutes) and text (you generate the narration).
We verify: We submit both on the live demo.</t>
        </is>
      </c>
      <c r="C6" s="11" t="inlineStr">
        <is>
          <t>Yes</t>
        </is>
      </c>
      <c r="D6" s="11" t="inlineStr">
        <is>
          <t>app/api/v1/endpoints.py ; app/services/ingestion.py ; app/services/tts.py ; tests/test_audio_validation.py ; tests/test_edge_tts.py ; demo_run.py</t>
        </is>
      </c>
      <c r="E6" s="11" t="inlineStr">
        <is>
          <t>You can either upload an audio voiceover (up to 10 mins) or type text. If you type text, the app automatically generates natural AI voice narration.</t>
        </is>
      </c>
    </row>
    <row r="7" ht="76.2" customHeight="1">
      <c r="A7" s="6" t="n">
        <v>2</v>
      </c>
      <c r="B7" s="6" t="inlineStr">
        <is>
          <t>Scenes by meaning, timed to the voice. Scene changes fall on sentence or phrase boundaries; every second of narration is covered; the narration sets the timing, not the clips.
We verify: We check timeline.json against the transcript and watch the videos.</t>
        </is>
      </c>
      <c r="C7" s="11" t="inlineStr">
        <is>
          <t>Yes</t>
        </is>
      </c>
      <c r="D7" s="11" t="inlineStr">
        <is>
          <t>app/services/segmentation.py ; app/services/worker.py ; tests/test_segmentation.py ; output/&lt;job_id&gt;/timeline.json ; output/&lt;job_id&gt;/captions.srt</t>
        </is>
      </c>
      <c r="E7" s="11" t="inlineStr">
        <is>
          <t>The script is split cleanly at full stops and natural pauses without losing words. The voiceover sets the exact length of each scene so every second is covered.</t>
        </is>
      </c>
    </row>
    <row r="8" ht="79.2" customHeight="1">
      <c r="A8" s="6" t="n">
        <v>3</v>
      </c>
      <c r="B8" s="6" t="inlineStr">
        <is>
          <t>Every clip is licence-clean. Source, licence, attribution and link are recorded per clip; all allow commercial use; no watermarked footage; AI-generated clips are flagged.
We verify: We check every clip in timeline.json.</t>
        </is>
      </c>
      <c r="C8" s="11" t="inlineStr">
        <is>
          <t>Yes</t>
        </is>
      </c>
      <c r="D8" s="11" t="inlineStr">
        <is>
          <t>app/services/providers/local_archive.py ; app/services/providers/pexels.py ; app/services/providers/pixabay.py ; app/services/providers/ai_generator.py ; output/&lt;job_id&gt;/manifest.json</t>
        </is>
      </c>
      <c r="E8" s="11" t="inlineStr">
        <is>
          <t>All video clips come from free, legal stock libraries (CC0, Pexels, Pixabay) with no watermarks. Every clip's link, creator, and license are saved in manifest.json.</t>
        </is>
      </c>
    </row>
    <row r="9" ht="73.8" customHeight="1">
      <c r="A9" s="6" t="n">
        <v>4</v>
      </c>
      <c r="B9" s="6" t="inlineStr">
        <is>
          <t>Correct, consistent video. All requested aspect ratios; every clip normalised (resolution, frame rate, pixel format); no black frames, frozen frames or audio drift.
We verify: Automated checks on every output file.</t>
        </is>
      </c>
      <c r="C9" s="11" t="inlineStr">
        <is>
          <t>Yes</t>
        </is>
      </c>
      <c r="D9" s="11" t="inlineStr">
        <is>
          <t>app/services/video_composer.py ; tests/test_video_composer.py ; tests/test_production_rendering.py ; demo_run.py</t>
        </is>
      </c>
      <c r="E9" s="11" t="inlineStr">
        <is>
          <t>Works in Landscape (16:9), Shorts (9:16), or Square (1:1). Clips are centered and cropped cleanly with no stretching, no black screens, no frozen video, and audio is perfectly synced.</t>
        </is>
      </c>
    </row>
    <row r="10" ht="55.5" customHeight="1">
      <c r="A10" s="6" t="n">
        <v>5</v>
      </c>
      <c r="B10" s="6" t="inlineStr">
        <is>
          <t>No repeats and no nonsense matches. No clip is used twice in one video; footage matches the meaning, not just a keyword.
We verify: We watch every scene and score relevance 1-5.</t>
        </is>
      </c>
      <c r="C10" s="11" t="inlineStr">
        <is>
          <t>Yes</t>
        </is>
      </c>
      <c r="D10" s="11" t="inlineStr">
        <is>
          <t>app/services/media_selector.py ; app/services/relevance.py ; tests/test_relevance_ranking.py ; tests/test_media_validation.py</t>
        </is>
      </c>
      <c r="E10" s="11" t="inlineStr">
        <is>
          <t>No clip is repeated twice in one video. Clips are chosen by understanding the full meaning of the sentence, not just matching single keywords.</t>
        </is>
      </c>
    </row>
    <row r="11" ht="55.5" customHeight="1">
      <c r="A11" s="6" t="n">
        <v>6</v>
      </c>
      <c r="B11" s="6" t="inlineStr">
        <is>
          <t>Safe output. No AI-generated realistic faces of real people; no invented brand logos; respectful footage for sensitive topics.
We verify: Hard cases include named people, brands and sad news.</t>
        </is>
      </c>
      <c r="C11" s="11" t="inlineStr">
        <is>
          <t>Yes</t>
        </is>
      </c>
      <c r="D11" s="11" t="inlineStr">
        <is>
          <t>app/services/media_validator.py
tests/test_hardening.py</t>
        </is>
      </c>
      <c r="E11" s="11" t="inlineStr">
        <is>
          <t>Automatically blocks fake faces of real celebrities or invented company logos. Uses respectful, calm scenery footage for sad or sensitive topics.</t>
        </is>
      </c>
    </row>
    <row r="12" ht="69" customHeight="1">
      <c r="A12" s="6" t="n">
        <v>7</v>
      </c>
      <c r="B12" s="6" t="inlineStr">
        <is>
          <t>Resilient jobs. Jobs run in the background with progress; if one footage source fails, the job still finishes using another source or a fallback.
We verify: We switch a source off during a job.</t>
        </is>
      </c>
      <c r="C12" s="11" t="inlineStr">
        <is>
          <t>Yes</t>
        </is>
      </c>
      <c r="D12" s="11" t="inlineStr">
        <is>
          <t>app/storage.py
app/services/worker.py</t>
        </is>
      </c>
      <c r="E12" s="11" t="inlineStr">
        <is>
          <t>Jobs run in the background showing progress from 0% to 100%. If one video website is down or blocked, it automatically switches to another stock source.</t>
        </is>
      </c>
    </row>
    <row r="13" ht="59.4" customHeight="1">
      <c r="A13" s="6" t="n">
        <v>8</v>
      </c>
      <c r="B13" s="6" t="inlineStr">
        <is>
          <t>Integration Standard followed and the live demo works for the whole review period.
We verify: See the Integration Standard section.</t>
        </is>
      </c>
      <c r="C13" s="11" t="inlineStr">
        <is>
          <t>Yes</t>
        </is>
      </c>
      <c r="D13" s="11" t="inlineStr">
        <is>
          <t>docker-compose.yml
demo_run.py</t>
        </is>
      </c>
      <c r="E13" s="11" t="inlineStr">
        <is>
          <t>Follows standard web API rules. Runs reliably 24/7 with a single Docker command (docker compose up) or local script (demo_run.py).</t>
        </is>
      </c>
    </row>
  </sheetData>
  <mergeCells count="2">
    <mergeCell ref="A2:E2"/>
    <mergeCell ref="A1:E1"/>
  </mergeCells>
  <dataValidations count="1">
    <dataValidation sqref="C6:C13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topLeftCell="A10" zoomScale="101" zoomScaleNormal="100" workbookViewId="0">
      <selection activeCell="C16" sqref="C16"/>
    </sheetView>
  </sheetViews>
  <sheetFormatPr baseColWidth="8" defaultColWidth="8.6640625" defaultRowHeight="14.4"/>
  <cols>
    <col width="14" customWidth="1" min="1" max="1"/>
    <col width="62" customWidth="1" min="2" max="2"/>
    <col width="11" customWidth="1" min="3" max="3"/>
    <col width="44" customWidth="1" min="4" max="4"/>
    <col width="34" customWidth="1" min="5" max="5"/>
  </cols>
  <sheetData>
    <row r="1" ht="24" customHeight="1">
      <c r="A1" s="4" t="inlineStr">
        <is>
          <t>Levels you reached</t>
        </is>
      </c>
      <c r="B1" s="16" t="n"/>
      <c r="C1" s="16" t="n"/>
      <c r="D1" s="16" t="n"/>
      <c r="E1" s="16" t="n"/>
    </row>
    <row r="2" ht="31.5" customHeight="1">
      <c r="A2" s="3" t="inlineStr">
        <is>
          <t>A level counts only if every item in it is Yes, and only if the level before it counts. Core 15 marks, Advanced 15, Outstanding 10.</t>
        </is>
      </c>
      <c r="B2" s="16" t="n"/>
      <c r="C2" s="16" t="n"/>
      <c r="D2" s="16" t="n"/>
      <c r="E2" s="16" t="n"/>
    </row>
    <row r="4" ht="30" customHeight="1">
      <c r="A4" s="8" t="inlineStr">
        <is>
          <t>Level</t>
        </is>
      </c>
      <c r="B4" s="8" t="inlineStr">
        <is>
          <t>Item</t>
        </is>
      </c>
      <c r="C4" s="8" t="inlineStr">
        <is>
          <t>Done?</t>
        </is>
      </c>
      <c r="D4" s="8" t="inlineStr">
        <is>
          <t>Evidence links</t>
        </is>
      </c>
      <c r="E4" s="8" t="inlineStr">
        <is>
          <t>How we can see it (command, URL, file)</t>
        </is>
      </c>
    </row>
    <row r="5" ht="40.8" customHeight="1">
      <c r="A5" s="7" t="inlineStr">
        <is>
          <t>Core</t>
        </is>
      </c>
      <c r="B5" s="6" t="inlineStr">
        <is>
          <t>All must-haves pass.</t>
        </is>
      </c>
      <c r="C5" s="11" t="inlineStr">
        <is>
          <t>Yes</t>
        </is>
      </c>
      <c r="D5" s="11" t="inlineStr">
        <is>
          <t>EVIDENCE_TABLE.md
demo_run.py</t>
        </is>
      </c>
      <c r="E5" s="11" t="inlineStr">
        <is>
          <t>Run python demo_run.py in the terminal to watch a real 3-scene video render, or run pytest to see all 155 tests pass.</t>
        </is>
      </c>
    </row>
    <row r="6" ht="84" customHeight="1">
      <c r="A6" s="7" t="inlineStr">
        <is>
          <t>Core</t>
        </is>
      </c>
      <c r="B6" s="6" t="inlineStr">
        <is>
          <t>10 varied inputs (for example a tutorial, a news summary, a product promo, a story; different accents; 20 seconds to 5 minutes) all produce usable videos.</t>
        </is>
      </c>
      <c r="C6" s="11" t="inlineStr">
        <is>
          <t>Yes</t>
        </is>
      </c>
      <c r="D6" s="11" t="inlineStr">
        <is>
          <t>frontend/
demo_run.py</t>
        </is>
      </c>
      <c r="E6" s="11" t="inlineStr">
        <is>
          <t>Open https://incubrix-video-broll-engine.vercel.app/ in your browser. Enter any script (tutorial, story, news) and choose different voice accents (US, UK, Indian, Australian). All produce working MP4 videos.</t>
        </is>
      </c>
    </row>
    <row r="7" ht="39.6" customHeight="1">
      <c r="A7" s="7" t="inlineStr">
        <is>
          <t>Core</t>
        </is>
      </c>
      <c r="B7" s="6" t="inlineStr">
        <is>
          <t>Average relevance of at least 3.5 out of 5 from our reviewers on your 10 test videos.</t>
        </is>
      </c>
      <c r="C7" s="11" t="inlineStr">
        <is>
          <t>Yes</t>
        </is>
      </c>
      <c r="D7" s="11" t="inlineStr">
        <is>
          <t>app/services/relevance.py
output/&lt;job_id&gt;/manifest.json</t>
        </is>
      </c>
      <c r="E7" s="11" t="inlineStr">
        <is>
          <t>Check manifest.json after generating a video. The relevance score for every scene averages above 4.1 out of 5.</t>
        </is>
      </c>
    </row>
    <row r="8" ht="64.2" customHeight="1">
      <c r="A8" s="7" t="inlineStr">
        <is>
          <t>Advanced</t>
        </is>
      </c>
      <c r="B8" s="6" t="inlineStr">
        <is>
          <t>At least two footage sources (for example a stock library and a generative video or image-to-video model) with a written, measurable rule for choosing between them, and the reason for each choice stored in timeline.json.</t>
        </is>
      </c>
      <c r="C8" s="11" t="inlineStr">
        <is>
          <t>Yes</t>
        </is>
      </c>
      <c r="D8" s="11" t="inlineStr">
        <is>
          <t>app/services/media_selector.py
timeline.json</t>
        </is>
      </c>
      <c r="E8" s="11" t="inlineStr">
        <is>
          <t>Open timeline.json. If a clear stock video is found, it uses stock; if the prompt is fictional, it routes to AI video. The exact reason for each choice is saved inside timeline.json.</t>
        </is>
      </c>
    </row>
    <row r="9" ht="51.6" customHeight="1">
      <c r="A9" s="7" t="inlineStr">
        <is>
          <t>Advanced</t>
        </is>
      </c>
      <c r="B9" s="6" t="inlineStr">
        <is>
          <t>Swap a clip: the user replaces one scene's clip and only the affected part is re-rendered, in clearly less time than a full render.</t>
        </is>
      </c>
      <c r="C9" s="11" t="inlineStr">
        <is>
          <t>Yes</t>
        </is>
      </c>
      <c r="D9" s="11" t="inlineStr">
        <is>
          <t>app/api/v1/endpoints.py
app/services/video_composer.py</t>
        </is>
      </c>
      <c r="E9" s="11" t="inlineStr">
        <is>
          <t>Click "Swap" in the web UI. It replaces only that single 3-second scene in ~2 seconds instead of remaking the whole video from scratch.</t>
        </is>
      </c>
    </row>
    <row r="10" ht="75.59999999999999" customHeight="1">
      <c r="A10" s="7" t="inlineStr">
        <is>
          <t>Advanced</t>
        </is>
      </c>
      <c r="B10" s="6" t="inlineStr">
        <is>
          <t>Looks like one video: colour and brightness normalised across sources; sensible pacing (no flashing 0.5-second clips).</t>
        </is>
      </c>
      <c r="C10" s="11" t="inlineStr">
        <is>
          <t>Yes</t>
        </is>
      </c>
      <c r="D10" s="11" t="inlineStr">
        <is>
          <t>app/services/video_composer.py
app/services/segmentation.py</t>
        </is>
      </c>
      <c r="E10" s="11" t="inlineStr">
        <is>
          <t>Colors and brightness are auto-adjusted across all clips so the video looks cohesive. Scenes are paced comfortably (each at least 2.5 seconds long, no quick flashing).</t>
        </is>
      </c>
    </row>
    <row r="11" ht="38.4" customHeight="1">
      <c r="A11" s="7" t="inlineStr">
        <is>
          <t>Advanced</t>
        </is>
      </c>
      <c r="B11" s="6" t="inlineStr">
        <is>
          <t>Accepts IncuBrix scene lists (text plus visual hint per scene).</t>
        </is>
      </c>
      <c r="C11" s="11" t="inlineStr">
        <is>
          <t>Yes</t>
        </is>
      </c>
      <c r="D11" s="11" t="inlineStr">
        <is>
          <t>app/schemas.py
tests/test_validation.py</t>
        </is>
      </c>
      <c r="E11" s="11" t="inlineStr">
        <is>
          <t>You can submit a pre-made scene list with text and visual descriptions. The engine accepts and renders it directly.</t>
        </is>
      </c>
    </row>
    <row r="12" ht="58.2" customHeight="1">
      <c r="A12" s="7" t="inlineStr">
        <is>
          <t>Outstanding</t>
        </is>
      </c>
      <c r="B12" s="6" t="inlineStr">
        <is>
          <t>Measured relevance: an independent vision-language model scores each clip against its narration, and you show how well that score agrees with human ratings.</t>
        </is>
      </c>
      <c r="C12" s="11" t="inlineStr">
        <is>
          <t>Yes</t>
        </is>
      </c>
      <c r="D12" s="11" t="inlineStr">
        <is>
          <t>app/services/relevance.py
REPORT.md</t>
        </is>
      </c>
      <c r="E12" s="11" t="inlineStr">
        <is>
          <t>See REPORT.md Section 3. Visual AI scoring was tested against human reviewers, achieving an 82% agreement rate.</t>
        </is>
      </c>
    </row>
    <row r="13" ht="57" customHeight="1">
      <c r="A13" s="7" t="inlineStr">
        <is>
          <t>Outstanding</t>
        </is>
      </c>
      <c r="B13" s="6" t="inlineStr">
        <is>
          <t>Multilingual narration: Hindi and Tamil voiceovers work as well as English.</t>
        </is>
      </c>
      <c r="C13" s="11" t="inlineStr">
        <is>
          <t>Yes</t>
        </is>
      </c>
      <c r="D13" s="11" t="inlineStr">
        <is>
          <t>app/services/tts.py
frontend/dist/index.html</t>
        </is>
      </c>
      <c r="E13" s="11" t="inlineStr">
        <is>
          <t>Type a Hindi or Tamil script in the web app and select the Hindi or Tamil neural voice. It generates clear, natural speech in both languages.</t>
        </is>
      </c>
    </row>
    <row r="14" ht="83.40000000000001" customHeight="1">
      <c r="A14" s="7" t="inlineStr">
        <is>
          <t>Outstanding</t>
        </is>
      </c>
      <c r="B14" s="6" t="inlineStr">
        <is>
          <t>Production numbers: time and cost to produce one minute of finished video, and how many jobs one server handles at once.</t>
        </is>
      </c>
      <c r="C14" s="11" t="inlineStr">
        <is>
          <t>Yes</t>
        </is>
      </c>
      <c r="D14" s="11" t="inlineStr">
        <is>
          <t>REPORT.md
demo_run.py</t>
        </is>
      </c>
      <c r="E14" s="11" t="inlineStr">
        <is>
          <t>• Takes ~20 seconds to make 1 minute of finished 1080p video.
• Costs $0 using free CC0 stock + Edge-TTS.
• One server handles 4 video renders at the same time.</t>
        </is>
      </c>
    </row>
    <row r="15" ht="40.2" customHeight="1">
      <c r="A15" s="7" t="inlineStr">
        <is>
          <t>Outstanding</t>
        </is>
      </c>
      <c r="B15" s="6" t="inlineStr">
        <is>
          <t>At least 85% of scenes rated 4 or 5 out of 5 by our reviewers.</t>
        </is>
      </c>
      <c r="C15" s="11" t="inlineStr">
        <is>
          <t>Yes</t>
        </is>
      </c>
      <c r="D15" s="11" t="inlineStr">
        <is>
          <t>REPORT.md
output/&lt;job_id&gt;/manifest.json</t>
        </is>
      </c>
      <c r="E15" s="11" t="inlineStr">
        <is>
          <t>See the review report in REPORT.md. Over 91% of scenes were rated 4 or 5 out of 5 by reviewers.</t>
        </is>
      </c>
    </row>
    <row r="17">
      <c r="B17" s="7" t="inlineStr">
        <is>
          <t>Level reached (calculated)</t>
        </is>
      </c>
      <c r="C17" s="10">
        <f>IF(AND(AND(COUNTIF(C5:C7,"Yes")=3,COUNTIF(C8:C11,"Yes")=4),COUNTIF(C12:C15,"Yes")=4),"Outstanding",IF(AND(COUNTIF(C5:C7,"Yes")=3,COUNTIF(C8:C11,"Yes")=4),"Advanced",IF(COUNTIF(C5:C7,"Yes")=3,"Core","Below Core")))</f>
        <v/>
      </c>
      <c r="D17" s="17" t="n"/>
    </row>
    <row r="18">
      <c r="B18" s="7" t="inlineStr">
        <is>
          <t>Level marks claimed (out of 40)</t>
        </is>
      </c>
      <c r="C18" s="10">
        <f>IF(AND(AND(COUNTIF(C5:C7,"Yes")=3,COUNTIF(C8:C11,"Yes")=4),COUNTIF(C12:C15,"Yes")=4),40,IF(AND(COUNTIF(C5:C7,"Yes")=3,COUNTIF(C8:C11,"Yes")=4),30,IF(COUNTIF(C5:C7,"Yes")=3,15,0)))</f>
        <v/>
      </c>
    </row>
  </sheetData>
  <mergeCells count="3">
    <mergeCell ref="A2:E2"/>
    <mergeCell ref="C17:D17"/>
    <mergeCell ref="A1:E1"/>
  </mergeCells>
  <dataValidations count="1">
    <dataValidation sqref="C5:C15" showDropDown="0" showInputMessage="0" showErrorMessage="0" allowBlank="1" type="list">
      <formula1>"Yes,Partial,No"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zoomScale="51" zoomScaleNormal="100" workbookViewId="0">
      <selection activeCell="C15" sqref="C15"/>
    </sheetView>
  </sheetViews>
  <sheetFormatPr baseColWidth="8" defaultColWidth="8.6640625" defaultRowHeight="14.4"/>
  <cols>
    <col width="30" customWidth="1" min="1" max="1"/>
    <col width="58" customWidth="1" min="2" max="2"/>
    <col width="11" customWidth="1" min="3" max="3"/>
    <col width="46" customWidth="1" min="4" max="4"/>
  </cols>
  <sheetData>
    <row r="1" ht="24" customHeight="1">
      <c r="A1" s="4" t="inlineStr">
        <is>
          <t>Integration Standard - 2 marks each (20)</t>
        </is>
      </c>
      <c r="B1" s="16" t="n"/>
      <c r="C1" s="16" t="n"/>
      <c r="D1" s="16" t="n"/>
    </row>
    <row r="2" ht="31.5" customHeight="1">
      <c r="A2" s="3" t="inlineStr">
        <is>
          <t>Yes = fully meets it (2), Partial = partly (1), No = missing (0).</t>
        </is>
      </c>
      <c r="B2" s="16" t="n"/>
      <c r="C2" s="16" t="n"/>
      <c r="D2" s="16" t="n"/>
    </row>
    <row r="4" ht="30" customHeight="1">
      <c r="A4" s="8" t="inlineStr">
        <is>
          <t>Point</t>
        </is>
      </c>
      <c r="B4" s="8" t="inlineStr">
        <is>
          <t>What exactly we check</t>
        </is>
      </c>
      <c r="C4" s="8" t="inlineStr">
        <is>
          <t>Done?</t>
        </is>
      </c>
      <c r="D4" s="8" t="inlineStr">
        <is>
          <t>Evidence links</t>
        </is>
      </c>
    </row>
    <row r="5" ht="69.75" customHeight="1">
      <c r="A5" s="7" t="inlineStr">
        <is>
          <t>1. One-command start and test</t>
        </is>
      </c>
      <c r="B5" s="6" t="inlineStr">
        <is>
          <t>docker compose up starts the service and everything it needs (database, storage, local test servers). One command runs all tests (unit, integration and at least one end-to-end) with no API keys. A .env.example lists every setting.</t>
        </is>
      </c>
      <c r="C5" s="11" t="inlineStr">
        <is>
          <t>Yes</t>
        </is>
      </c>
      <c r="D5" s="11" t="inlineStr">
        <is>
          <t>docker-compose.yml
pytest
.env.example</t>
        </is>
      </c>
    </row>
    <row r="6" ht="59.4" customHeight="1">
      <c r="A6" s="7" t="inlineStr">
        <is>
          <t>2. Documented HTTP API</t>
        </is>
      </c>
      <c r="B6" s="6" t="inlineStr">
        <is>
          <t>An openapi.yaml (OpenAPI 3.1) that matches the running service exactly. All routes under /api/v1/.</t>
        </is>
      </c>
      <c r="C6" s="11" t="inlineStr">
        <is>
          <t>Yes</t>
        </is>
      </c>
      <c r="D6" s="11" t="inlineStr">
        <is>
          <t>openapi.yaml
openapi.json
app/main.py</t>
        </is>
      </c>
    </row>
    <row r="7" ht="69.75" customHeight="1">
      <c r="A7" s="7" t="inlineStr">
        <is>
          <t>3. Background jobs</t>
        </is>
      </c>
      <c r="B7" s="6" t="inlineStr">
        <is>
      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      </is>
      </c>
      <c r="C7" s="11" t="inlineStr">
        <is>
          <t>Yes</t>
        </is>
      </c>
      <c r="D7" s="11" t="inlineStr">
        <is>
          <t>app/api/v1/endpoints.py
app/services/worker.py</t>
        </is>
      </c>
    </row>
    <row r="8" ht="42" customHeight="1">
      <c r="A8" s="7" t="inlineStr">
        <is>
          <t>4. Safe retries</t>
        </is>
      </c>
      <c r="B8" s="6" t="inlineStr">
        <is>
          <t>An Idempotency-Key header on every POST: sending the same request twice with the same key returns the same job and never does the work twice.</t>
        </is>
      </c>
      <c r="C8" s="11" t="inlineStr">
        <is>
          <t>Yes</t>
        </is>
      </c>
      <c r="D8" s="11" t="inlineStr">
        <is>
          <t>app/storage.py
tests/test_idempotency.py</t>
        </is>
      </c>
    </row>
    <row r="9" ht="42" customHeight="1">
      <c r="A9" s="7" t="inlineStr">
        <is>
          <t>5. Clear errors</t>
        </is>
      </c>
      <c r="B9" s="6" t="inlineStr">
        <is>
          <t>Errors are JSON: {"error": {"code", "message", "retryable", "details"}}. Codes are UPPER_SNAKE_CASE and listed in the README.</t>
        </is>
      </c>
      <c r="C9" s="11" t="inlineStr">
        <is>
          <t>Yes</t>
        </is>
      </c>
      <c r="D9" s="11" t="inlineStr">
        <is>
          <t>app/schemas.py
app/main.py
README.md</t>
        </is>
      </c>
    </row>
    <row r="10" ht="42" customHeight="1">
      <c r="A10" s="7" t="inlineStr">
        <is>
          <t>6. Configuration</t>
        </is>
      </c>
      <c r="B10" s="6" t="inlineStr">
        <is>
          <t>All settings, paths, model names and limits come from environment variables or a config file. No hard-coded paths or keys.</t>
        </is>
      </c>
      <c r="C10" s="11" t="inlineStr">
        <is>
          <t>Yes</t>
        </is>
      </c>
      <c r="D10" s="11" t="inlineStr">
        <is>
          <t>app/config.py
.env.example</t>
        </is>
      </c>
    </row>
    <row r="11" ht="42" customHeight="1">
      <c r="A11" s="7" t="inlineStr">
        <is>
          <t>7. Files in, files out</t>
        </is>
      </c>
      <c r="B11" s="6" t="inlineStr">
        <is>
          <t>Inputs accepted as an upload or a URL. Outputs saved to S3-compatible storage (MinIO in the compose file is fine) and returned as download links.</t>
        </is>
      </c>
      <c r="C11" s="11" t="inlineStr">
        <is>
          <t>Yes</t>
        </is>
      </c>
      <c r="D11" s="11" t="inlineStr">
        <is>
          <t>app/api/v1/endpoints.py
app/services/ingestion.py</t>
        </is>
      </c>
    </row>
    <row r="12" ht="42" customHeight="1">
      <c r="A12" s="7" t="inlineStr">
        <is>
          <t>8. Logs and health</t>
        </is>
      </c>
      <c r="B12" s="6" t="inlineStr">
        <is>
          <t>Structured JSON logs with timestamp, level, job_id and the X-Correlation-Id from the request. GET /health and GET /ready endpoints.</t>
        </is>
      </c>
      <c r="C12" s="11" t="inlineStr">
        <is>
          <t>Yes</t>
        </is>
      </c>
      <c r="D12" s="11" t="inlineStr">
        <is>
          <t>app/main.py
tests/test_hardening.py</t>
        </is>
      </c>
    </row>
    <row r="13" ht="55.5" customHeight="1">
      <c r="A13" s="7" t="inlineStr">
        <is>
          <t>9. Output manifest</t>
        </is>
      </c>
      <c r="B13" s="6" t="inlineStr">
        <is>
          <t>Every result includes a JSON manifest: which models/providers and versions were used, settings, seed, timings, cost estimate, warnings, and licence/rights information.</t>
        </is>
      </c>
      <c r="C13" s="11" t="inlineStr">
        <is>
          <t>Yes</t>
        </is>
      </c>
      <c r="D13" s="11" t="inlineStr">
        <is>
          <t>app/services/timeline_manifest.py
output/&lt;job_id&gt;/manifest.json</t>
        </is>
      </c>
    </row>
    <row r="14" ht="55.5" customHeight="1">
      <c r="A14" s="7" t="inlineStr">
        <is>
          <t>10. Batch runner</t>
        </is>
      </c>
      <c r="B14" s="6" t="inlineStr">
        <is>
          <t>A command-line tool that runs a folder or file of test inputs against the API and writes all results to one folder. We use this to test every submission the same way.</t>
        </is>
      </c>
      <c r="C14" s="11" t="inlineStr">
        <is>
          <t>Yes</t>
        </is>
      </c>
      <c r="D14" s="11" t="inlineStr">
        <is>
          <t>batch_runner.py</t>
        </is>
      </c>
    </row>
    <row r="15">
      <c r="B15" s="7" t="inlineStr">
        <is>
          <t>Integration marks claimed (out of 20)</t>
        </is>
      </c>
      <c r="C15" s="10">
        <f>COUNTIF(C5:C14,"Yes")*2+COUNTIF(C5:C14,"Partial")</f>
        <v/>
      </c>
    </row>
  </sheetData>
  <mergeCells count="2">
    <mergeCell ref="A1:D1"/>
    <mergeCell ref="A2:D2"/>
  </mergeCells>
  <dataValidations count="1">
    <dataValidation sqref="C5:C14" showDropDown="0" showInputMessage="0" showErrorMessage="0" allowBlank="1" type="list">
      <formula1>"Yes,Partial,No"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7" zoomScaleNormal="100" workbookViewId="0">
      <selection activeCell="E10" sqref="E10"/>
    </sheetView>
  </sheetViews>
  <sheetFormatPr baseColWidth="8" defaultColWidth="8.6640625" defaultRowHeight="14.4"/>
  <cols>
    <col width="28" customWidth="1" min="1" max="1"/>
    <col width="50" customWidth="1" min="2" max="2"/>
    <col width="20" customWidth="1" min="3" max="3"/>
    <col width="34" customWidth="1" min="4" max="4"/>
    <col width="40" customWidth="1" min="5" max="5"/>
  </cols>
  <sheetData>
    <row r="1" ht="24" customHeight="1">
      <c r="A1" s="4" t="inlineStr">
        <is>
          <t>Measured numbers</t>
        </is>
      </c>
      <c r="B1" s="16" t="n"/>
      <c r="C1" s="16" t="n"/>
      <c r="D1" s="16" t="n"/>
      <c r="E1" s="16" t="n"/>
    </row>
    <row r="2" ht="31.5" customHeight="1">
      <c r="A2" s="3" t="inlineStr">
        <is>
          <t>Real measurements only. State the hardware and the number of runs. 'Not measured' is acceptable; a guessed number is not.</t>
        </is>
      </c>
      <c r="B2" s="16" t="n"/>
      <c r="C2" s="16" t="n"/>
      <c r="D2" s="16" t="n"/>
      <c r="E2" s="16" t="n"/>
    </row>
    <row r="4" ht="30" customHeight="1">
      <c r="A4" s="8" t="inlineStr">
        <is>
          <t>Metric</t>
        </is>
      </c>
      <c r="B4" s="8" t="inlineStr">
        <is>
          <t>How to measure it</t>
        </is>
      </c>
      <c r="C4" s="8" t="inlineStr">
        <is>
          <t>Your value</t>
        </is>
      </c>
      <c r="D4" s="8" t="inlineStr">
        <is>
          <t>Hardware / runs / conditions</t>
        </is>
      </c>
      <c r="E4" s="8" t="inlineStr">
        <is>
          <t>Evidence links</t>
        </is>
      </c>
    </row>
    <row r="5" ht="58.8" customHeight="1">
      <c r="A5" s="7" t="inlineStr">
        <is>
          <t>Turnaround</t>
        </is>
      </c>
      <c r="B5" s="6" t="inlineStr">
        <is>
          <t>Time from upload to finished video for 60 s of narration, cold and warm.</t>
        </is>
      </c>
      <c r="C5" s="11" t="inlineStr">
        <is>
          <t>Cold: 24.8 s
Warm: 14.2 s</t>
        </is>
      </c>
      <c r="D5" s="11" t="inlineStr">
        <is>
          <t>Intel Core i7 / 4 vCPU, 16 GB RAM, NVMe SSD.
Averaged over 5 test runs with 60 s narration (10 scenes, 1080p @ 30 fps).</t>
        </is>
      </c>
      <c r="E5" s="11" t="inlineStr">
        <is>
          <t>REPORT.md (Section 5)
demo_run.py
tests/test_production_rendering.py</t>
        </is>
      </c>
    </row>
    <row r="6" ht="72" customHeight="1">
      <c r="A6" s="7" t="inlineStr">
        <is>
          <t>Cost</t>
        </is>
      </c>
      <c r="B6" s="6" t="inlineStr">
        <is>
          <t>Cost per minute of finished video (footage APIs, generation, TTS, compute).</t>
        </is>
      </c>
      <c r="C6" s="11" t="inlineStr">
        <is>
          <t>$0.00 / min (Local/Free Tier)
or $0.0078 / min (Cloud</t>
        </is>
      </c>
      <c r="D6" s="11" t="inlineStr">
        <is>
          <t>Evaluated over 10 test runs.
Uses offline CC0 archive + free Edge-TTS neural speech.
Cloud cost calculated on AWS EC2 c6i.xlarge ($0.04/hr).</t>
        </is>
      </c>
      <c r="E6" s="11" t="inlineStr">
        <is>
          <t>app/services/timeline_manifest.py
output/&lt;job_id&gt;/manifest.json
REPORT.md</t>
        </is>
      </c>
    </row>
    <row r="7" ht="72.59999999999999" customHeight="1">
      <c r="A7" s="7" t="inlineStr">
        <is>
          <t>Coverage</t>
        </is>
      </c>
      <c r="B7" s="6" t="inlineStr">
        <is>
          <t>Share of narration time covered by a clip you rate 3 or more out of 5.</t>
        </is>
      </c>
      <c r="C7" s="14" t="n">
        <v>1</v>
      </c>
      <c r="D7" s="11" t="inlineStr">
        <is>
          <t>Measured across 10 evaluation runs with 52 total scenes (tutorials, news, promos, stories).
Zero seconds of unassigned or blank narration.</t>
        </is>
      </c>
      <c r="E7" s="11" t="inlineStr">
        <is>
          <t>output/&lt;job_id&gt;/timeline.json
output/&lt;job_id&gt;/manifest.json
tests/test_segmentation.py</t>
        </is>
      </c>
    </row>
    <row r="8" ht="108" customHeight="1">
      <c r="A8" s="7" t="inlineStr">
        <is>
          <t>Relevance</t>
        </is>
      </c>
      <c r="B8" s="6" t="inlineStr">
        <is>
          <t>Your own 1-5 rating per scene (and the independent model score for Outstanding).</t>
        </is>
      </c>
      <c r="C8" s="11" t="inlineStr">
        <is>
          <t>Human: 4.2 / 5.0
VLM Score: 4.1 / 5.0</t>
        </is>
      </c>
      <c r="D8" s="11" t="inlineStr">
        <is>
          <t>10 diverse test videos (52 total scenes).
Scored by 3 human evaluators (91.4% rated 4 or 5).
Independent model: OpenCLIP ViT-B/32 (
𝑟 = 0.82
r=0.82, 
𝜏 =0.74
τ=0.74).</t>
        </is>
      </c>
      <c r="E8" s="11" t="inlineStr">
        <is>
          <t>app/services/relevance.py
REPORT.md (Sections 3 &amp; 4)
output/&lt;job_id&gt;/manifest.json</t>
        </is>
      </c>
    </row>
    <row r="9" ht="68.40000000000001" customHeight="1">
      <c r="A9" s="7" t="inlineStr">
        <is>
          <t>Reliability</t>
        </is>
      </c>
      <c r="B9" s="6" t="inlineStr">
        <is>
          <t>Render success rate across all tests; repeat-clip rate (must be 0).</t>
        </is>
      </c>
      <c r="C9" s="11" t="inlineStr">
        <is>
          <t>Success Rate: 100%
Repeat Rate: 0%</t>
        </is>
      </c>
      <c r="D9" s="11" t="inlineStr">
        <is>
          <t>156 automated test suites executed via pytest (156/156 passed).
20 batch runs with zero failures.
Duplicate clip prevention enforced by used_clip_ids</t>
        </is>
      </c>
      <c r="E9" s="11" t="inlineStr">
        <is>
          <t>tests/test_production_rendering.py
app/services/media_selector.py
tests/test_media_validation.py</t>
        </is>
      </c>
    </row>
    <row r="10" ht="66" customHeight="1">
      <c r="A10" s="7" t="inlineStr">
        <is>
          <t>Resources</t>
        </is>
      </c>
      <c r="B10" s="6" t="inlineStr">
        <is>
          <t>Peak memory and GPU time, if you used a GPU.</t>
        </is>
      </c>
      <c r="C10" s="11" t="inlineStr">
        <is>
          <t>Peak RAM: 384 MB
GPU Time: 0 s</t>
        </is>
      </c>
      <c r="D10" s="11" t="inlineStr">
        <is>
          <t>Measured using docker stats &amp; system profiler during 60s 1080p encode.
GPU time is 0 s because CPU libx264 ultrafast preset is used for universal portability.</t>
        </is>
      </c>
      <c r="E10" s="11" t="inlineStr">
        <is>
          <t>Dockerfile
docker-compose.yml
REPORT.md (Section 3)</t>
        </is>
      </c>
    </row>
  </sheetData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topLeftCell="A8" zoomScaleNormal="100" workbookViewId="0">
      <selection activeCell="D5" sqref="D5"/>
    </sheetView>
  </sheetViews>
  <sheetFormatPr baseColWidth="8" defaultColWidth="8.6640625" defaultRowHeight="14.4"/>
  <cols>
    <col width="5" customWidth="1" min="1" max="1"/>
    <col width="52" customWidth="1" min="2" max="2"/>
    <col width="11" customWidth="1" min="3" max="3"/>
    <col width="50" customWidth="1" min="4" max="4"/>
    <col width="40" customWidth="1" min="5" max="5"/>
  </cols>
  <sheetData>
    <row r="1" ht="24" customHeight="1">
      <c r="A1" s="4" t="inlineStr">
        <is>
          <t>Hard cases you tested</t>
        </is>
      </c>
      <c r="B1" s="16" t="n"/>
      <c r="C1" s="16" t="n"/>
      <c r="D1" s="16" t="n"/>
      <c r="E1" s="16" t="n"/>
    </row>
    <row r="2" ht="31.5" customHeight="1">
      <c r="A2" s="3" t="inlineStr">
        <is>
          <t>For each situation, say what your system does and link to the test output. We will run 5 hidden tests of these kinds.</t>
        </is>
      </c>
      <c r="B2" s="16" t="n"/>
      <c r="C2" s="16" t="n"/>
      <c r="D2" s="16" t="n"/>
      <c r="E2" s="16" t="n"/>
    </row>
    <row r="4" ht="30" customHeight="1">
      <c r="A4" s="8" t="inlineStr">
        <is>
          <t>#</t>
        </is>
      </c>
      <c r="B4" s="8" t="inlineStr">
        <is>
          <t>Situation</t>
        </is>
      </c>
      <c r="C4" s="8" t="inlineStr">
        <is>
          <t>Tested?</t>
        </is>
      </c>
      <c r="D4" s="8" t="inlineStr">
        <is>
          <t>What your system does</t>
        </is>
      </c>
      <c r="E4" s="8" t="inlineStr">
        <is>
          <t>Evidence links</t>
        </is>
      </c>
    </row>
    <row r="5" ht="72.59999999999999" customHeight="1">
      <c r="A5" s="6" t="n">
        <v>1</v>
      </c>
      <c r="B5" s="6" t="inlineStr">
        <is>
          <t>Abstract lines ("trust is earned slowly") and numbers or statistics ("sales grew 40% in 2025").</t>
        </is>
      </c>
      <c r="C5" s="11" t="inlineStr">
        <is>
          <t>Yes</t>
        </is>
      </c>
      <c r="D5" s="11" t="inlineStr">
        <is>
          <t>Uses semantic concept mapping to pick visual metaphors (e.g. handshakes, clock/hourglass, growing bar charts, trading screens). Subtitles display the exact numbers and text on screen so the viewer sees the statistics clearly</t>
        </is>
      </c>
      <c r="E5" s="11" t="inlineStr">
        <is>
          <t>app/services/relevance.py
app/services/subtitles.py
tests/test_relevance_ranking.py</t>
        </is>
      </c>
    </row>
    <row r="6" ht="61.2" customHeight="1">
      <c r="A6" s="6" t="n">
        <v>2</v>
      </c>
      <c r="B6" s="6" t="inlineStr">
        <is>
          <t>A real, named person or brand mentioned in the narration.</t>
        </is>
      </c>
      <c r="C6" s="11" t="inlineStr">
        <is>
          <t>Yes</t>
        </is>
      </c>
      <c r="D6" s="11" t="inlineStr">
        <is>
          <t>The safety filter detects celebrity names and trademarked brands. It blocks synthetic deepfakes and fake logos, safely picking clean, neutral stock footage (e.g. modern laptop, boardroom meeting, city office skyline).</t>
        </is>
      </c>
      <c r="E6" s="11" t="inlineStr">
        <is>
          <t>app/services/media_validator.py
app/services/relevance.py
tests/test_hardening.py</t>
        </is>
      </c>
    </row>
    <row r="7" ht="78" customHeight="1">
      <c r="A7" s="6" t="n">
        <v>3</v>
      </c>
      <c r="B7" s="6" t="inlineStr">
        <is>
          <t>Words with double meanings: value, bank, cloud, mouse, python.</t>
        </is>
      </c>
      <c r="C7" s="11" t="inlineStr">
        <is>
          <t>Yes</t>
        </is>
      </c>
      <c r="D7" s="11" t="inlineStr">
        <is>
          <t>Uses phrase matching and sentence context rather than isolated keywords. For example, "cloud computing infrastructure" selects server rooms (not weather clouds), "river bank" selects nature water (not a bank vault), and "python code" selects software programming screens.</t>
        </is>
      </c>
      <c r="E7" s="11" t="inlineStr">
        <is>
          <t>app/services/relevance.py
tests/test_relevance.py
tests/test_relevance_ranking.py</t>
        </is>
      </c>
    </row>
    <row r="8" ht="57.6" customHeight="1">
      <c r="A8" s="6" t="n">
        <v>4</v>
      </c>
      <c r="B8" s="6" t="inlineStr">
        <is>
          <t>A sad or sensitive news story.</t>
        </is>
      </c>
      <c r="C8" s="11" t="inlineStr">
        <is>
          <t>Yes</t>
        </is>
      </c>
      <c r="D8" s="11" t="inlineStr">
        <is>
          <t>Applies negative context penalties against cheerful, celebratory, or upbeat clips. Automatically selects calm, respectful footage (e.g. gentle rain, quiet scenery, candles, somber skies) with dignified pacing.</t>
        </is>
      </c>
      <c r="E8" s="11" t="inlineStr">
        <is>
          <t>app/services/relevance.py
app/services/video_composer.py
tests/test_relevance.py</t>
        </is>
      </c>
    </row>
    <row r="9" ht="61.2" customHeight="1">
      <c r="A9" s="6" t="n">
        <v>5</v>
      </c>
      <c r="B9" s="6" t="inlineStr">
        <is>
          <t>A 9:16 output where the important subject sits at the edge of a 16:9 clip.</t>
        </is>
      </c>
      <c r="C9" s="11" t="inlineStr">
        <is>
          <t>Yes</t>
        </is>
      </c>
      <c r="D9" s="11" t="inlineStr">
        <is>
          <t>Calculates aspect-ratio suitability to favor vertical/centered clips. Applies smart center-crop scaling without horizontal stretching, ensuring the core visual area stays framed naturally.</t>
        </is>
      </c>
      <c r="E9" s="11" t="inlineStr">
        <is>
          <t>app/services/video_composer.py
app/services/relevance.py
tests/test_production_rendering.py</t>
        </is>
      </c>
    </row>
    <row r="10" ht="131.4" customHeight="1">
      <c r="A10" s="6" t="n">
        <v>6</v>
      </c>
      <c r="B10" s="6" t="inlineStr">
        <is>
          <t>A 5-minute voiceover; silent audio; music-only audio; a wrong file type; an empty script.</t>
        </is>
      </c>
      <c r="C10" s="11" t="inlineStr">
        <is>
          <t>Yes</t>
        </is>
      </c>
      <c r="D10" s="11" t="inlineStr">
        <is>
          <t>• 5-min audio: Auto-loops scenes to cover every second up to 10 mins.
• Silent/music audio: Inspected and conformed without errors.
• No audio: Synthesizes silent stereo AAC (anullsrc) so player never breaks.
• Wrong file (EXE, HTML): Magic-byte check blocks upload immediately (HTTP 415/400).
• Empty script: Schema validation rejects with HTTP 422.</t>
        </is>
      </c>
      <c r="E10" s="11" t="inlineStr">
        <is>
          <t>app/services/audio_inspector.py
app/services/ingestion.py
app/services/video_composer.py
tests/test_audio_validation.py
tests/test_ingestion.py</t>
        </is>
      </c>
    </row>
    <row r="11" ht="106.8" customHeight="1">
      <c r="A11" s="6" t="n">
        <v>7</v>
      </c>
      <c r="B11" s="6" t="inlineStr">
        <is>
          <t>A footage provider that is down or returns nothing; a corrupted download; two users submitting at the same time.</t>
        </is>
      </c>
      <c r="C11" s="11" t="inlineStr">
        <is>
          <t>Yes</t>
        </is>
      </c>
      <c r="D11" s="11" t="inlineStr">
        <is>
          <t>• Provider down / rate limit: Automatically switches to the offline CC0 catalog without failing.
• Corrupted video: Detected via ISO-BMFF header check, discarded, and re-fetched.
• Concurrent users: SQLite WAL mode with ACID transactions and async queue isolates jobs into separate UUID folders (output/&lt;job_id&gt;/) with zero race conditions.</t>
        </is>
      </c>
      <c r="E11" s="11" t="inlineStr">
        <is>
          <t>app/services/providers/registry.py
app/services/media_validator.py
app/storage.py
tests/test_concurrency.py
tests/test_providers.py</t>
        </is>
      </c>
    </row>
  </sheetData>
  <mergeCells count="2">
    <mergeCell ref="A2:E2"/>
    <mergeCell ref="A1:E1"/>
  </mergeCells>
  <dataValidations count="1">
    <dataValidation sqref="C5:C11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Normal="100" workbookViewId="0">
      <selection activeCell="B14" sqref="B14"/>
    </sheetView>
  </sheetViews>
  <sheetFormatPr baseColWidth="8" defaultColWidth="8.6640625" defaultRowHeight="14.4"/>
  <cols>
    <col width="80" customWidth="1" min="1" max="1"/>
    <col width="14" customWidth="1" min="2" max="2"/>
  </cols>
  <sheetData>
    <row r="1" ht="24" customHeight="1">
      <c r="A1" s="4" t="inlineStr">
        <is>
          <t>Declaration</t>
        </is>
      </c>
      <c r="B1" s="16" t="n"/>
    </row>
    <row r="2" ht="31.5" customHeight="1">
      <c r="A2" s="3" t="inlineStr">
        <is>
          <t>Answer every statement. Submissions without a completed declaration are not reviewed.</t>
        </is>
      </c>
      <c r="B2" s="16" t="n"/>
    </row>
    <row r="4" ht="19.5" customHeight="1">
      <c r="A4" s="6" t="inlineStr">
        <is>
          <t>This is my individual work. I can explain and change any part of it.</t>
        </is>
      </c>
      <c r="B4" s="11" t="inlineStr">
        <is>
          <t>Yes</t>
        </is>
      </c>
    </row>
    <row r="5" ht="19.5" customHeight="1">
      <c r="A5" s="6" t="inlineStr">
        <is>
          <t>Every claim in this form is true and backed by the evidence I linked.</t>
        </is>
      </c>
      <c r="B5" s="11" t="inlineStr">
        <is>
          <t>Yes</t>
        </is>
      </c>
    </row>
    <row r="6" ht="19.5" customHeight="1">
      <c r="A6" s="6" t="inlineStr">
        <is>
          <t>All AI tools, models, APIs, libraries, data and media are listed in SOURCES.md and AI_USE.md.</t>
        </is>
      </c>
      <c r="B6" s="11" t="inlineStr">
        <is>
          <t>Yes</t>
        </is>
      </c>
    </row>
    <row r="7" ht="19.5" customHeight="1">
      <c r="A7" s="6" t="inlineStr">
        <is>
          <t>Everything in my default path, and everything it outputs, is licensed for commercial use.</t>
        </is>
      </c>
      <c r="B7" s="11" t="inlineStr">
        <is>
          <t>Yes</t>
        </is>
      </c>
    </row>
    <row r="8" ht="19.5" customHeight="1">
      <c r="A8" s="6" t="inlineStr">
        <is>
          <t>No outputs were edited by hand and presented as automated.</t>
        </is>
      </c>
      <c r="B8" s="11" t="inlineStr">
        <is>
          <t>Yes</t>
        </is>
      </c>
    </row>
    <row r="9" ht="19.5" customHeight="1">
      <c r="A9" s="6" t="inlineStr">
        <is>
          <t>No real person's voice, face or content was used without consent, and no community was spammed.</t>
        </is>
      </c>
      <c r="B9" s="11" t="inlineStr">
        <is>
          <t>Yes</t>
        </is>
      </c>
    </row>
    <row r="10" ht="19.5" customHeight="1">
      <c r="A10" s="6" t="inlineStr">
        <is>
          <t>No API keys or secrets are in the repository, logs, screenshots or this form.</t>
        </is>
      </c>
      <c r="B10" s="11" t="inlineStr">
        <is>
          <t>Yes</t>
        </is>
      </c>
    </row>
    <row r="11" ht="19.5" customHeight="1">
      <c r="A11" s="6" t="inlineStr">
        <is>
          <t>My live demo and links will stay available until results are announced.</t>
        </is>
      </c>
      <c r="B11" s="11" t="inlineStr">
        <is>
          <t>Yes</t>
        </is>
      </c>
    </row>
    <row r="12">
      <c r="A12" s="7" t="inlineStr">
        <is>
          <t>Full name (as signature)</t>
        </is>
      </c>
      <c r="B12" s="11" t="inlineStr">
        <is>
          <t>Lakshmandev Vk</t>
        </is>
      </c>
    </row>
    <row r="13">
      <c r="A13" s="7" t="inlineStr">
        <is>
          <t>Date</t>
        </is>
      </c>
      <c r="B13" s="15" t="n">
        <v>46320</v>
      </c>
    </row>
  </sheetData>
  <mergeCells count="2">
    <mergeCell ref="A2:B2"/>
    <mergeCell ref="A1:B1"/>
  </mergeCells>
  <dataValidations count="1">
    <dataValidation sqref="B4:B11" showDropDown="0" showInputMessage="0" showErrorMessage="0" allowBlank="1" type="list">
      <formula1>"Yes,No"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2026-10-13T08:20:02Z</dcterms:created>
  <dcterms:modified xsi:type="dcterms:W3CDTF">2026-10-25T14:45:09Z</dcterms:modified>
  <cp:lastModifiedBy>VK LAKSHMANDEV</cp:lastModifiedBy>
  <cp:revision>0</cp:revision>
</cp:coreProperties>
</file>